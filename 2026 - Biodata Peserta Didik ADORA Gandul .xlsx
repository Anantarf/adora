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persons/person0.xml" ContentType="application/vnd.ms-excel.person+xml"/>
  <Override PartName="/xl/persons/person5.xml" ContentType="application/vnd.ms-excel.person+xml"/>
  <Override PartName="/xl/persons/person6.xml" ContentType="application/vnd.ms-excel.person+xml"/>
  <Override PartName="/xl/persons/person3.xml" ContentType="application/vnd.ms-excel.person+xml"/>
  <Override PartName="/xl/persons/person2.xml" ContentType="application/vnd.ms-excel.person+xml"/>
  <Override PartName="/xl/persons/person1.xml" ContentType="application/vnd.ms-excel.person+xml"/>
  <Override PartName="/xl/persons/person4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ANIFA SHABIRAH\HANIFA (ADORA)\GANDUL\Peserta didik\GANDUL\BIODATA PESERTA DIDIK\Excel\BIODATA PESERTA DIDIK\"/>
    </mc:Choice>
  </mc:AlternateContent>
  <xr:revisionPtr revIDLastSave="0" documentId="13_ncr:1_{7556AA4C-6BCF-45A9-B29F-4D97903F01C9}" xr6:coauthVersionLast="47" xr6:coauthVersionMax="47" xr10:uidLastSave="{00000000-0000-0000-0000-000000000000}"/>
  <bookViews>
    <workbookView xWindow="-110" yWindow="-110" windowWidth="19420" windowHeight="10300" activeTab="3" xr2:uid="{105B632C-464F-44A3-90D4-FCE60CB95BAB}"/>
  </bookViews>
  <sheets>
    <sheet name="JANUARI" sheetId="32" r:id="rId1"/>
    <sheet name="FEBRUARI" sheetId="35" r:id="rId2"/>
    <sheet name="MARET" sheetId="36" r:id="rId3"/>
    <sheet name="APRIL" sheetId="37" r:id="rId4"/>
  </sheets>
  <definedNames>
    <definedName name="_xlnm._FilterDatabase" localSheetId="3" hidden="1">APRIL!$B$4:$B$9</definedName>
    <definedName name="_xlnm._FilterDatabase" localSheetId="1" hidden="1">FEBRUARI!$B$4:$B$9</definedName>
    <definedName name="_xlnm._FilterDatabase" localSheetId="0" hidden="1">JANUARI!$B$4:$B$9</definedName>
    <definedName name="_xlnm._FilterDatabase" localSheetId="2" hidden="1">MARET!$B$4:$B$9</definedName>
    <definedName name="_xlnm.Print_Area" localSheetId="3">APRIL!$A$1:$J$9</definedName>
    <definedName name="_xlnm.Print_Area" localSheetId="1">FEBRUARI!$A$1:$J$9</definedName>
    <definedName name="_xlnm.Print_Area" localSheetId="0">JANUARI!$A$1:$J$9</definedName>
    <definedName name="_xlnm.Print_Area" localSheetId="2">MARET!$A$1:$J$9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37" l="1"/>
  <c r="H12" i="37" s="1"/>
  <c r="D11" i="37"/>
  <c r="H11" i="37" s="1"/>
  <c r="D10" i="37"/>
  <c r="H10" i="37" s="1"/>
  <c r="D9" i="37"/>
  <c r="G9" i="37" s="1"/>
  <c r="D8" i="37"/>
  <c r="H8" i="37" s="1"/>
  <c r="D7" i="37"/>
  <c r="H7" i="37" s="1"/>
  <c r="D6" i="37"/>
  <c r="H6" i="37" s="1"/>
  <c r="D12" i="36"/>
  <c r="H12" i="36" s="1"/>
  <c r="D11" i="36"/>
  <c r="H11" i="36" s="1"/>
  <c r="D10" i="36"/>
  <c r="H10" i="36" s="1"/>
  <c r="D9" i="36"/>
  <c r="G9" i="36" s="1"/>
  <c r="D8" i="36"/>
  <c r="H8" i="36" s="1"/>
  <c r="D7" i="36"/>
  <c r="H7" i="36" s="1"/>
  <c r="D6" i="36"/>
  <c r="H6" i="36" s="1"/>
  <c r="D12" i="35"/>
  <c r="H12" i="35" s="1"/>
  <c r="D11" i="35"/>
  <c r="H11" i="35" s="1"/>
  <c r="D10" i="35"/>
  <c r="H10" i="35" s="1"/>
  <c r="D9" i="35"/>
  <c r="G9" i="35" s="1"/>
  <c r="D8" i="35"/>
  <c r="H8" i="35" s="1"/>
  <c r="D7" i="35"/>
  <c r="H7" i="35" s="1"/>
  <c r="D6" i="35"/>
  <c r="H6" i="35" s="1"/>
  <c r="D11" i="32"/>
  <c r="E11" i="32" s="1"/>
  <c r="D12" i="32"/>
  <c r="E12" i="32" s="1"/>
  <c r="D7" i="32"/>
  <c r="H7" i="32" s="1"/>
  <c r="D6" i="32"/>
  <c r="H6" i="32" s="1"/>
  <c r="D10" i="32"/>
  <c r="H10" i="32" s="1"/>
  <c r="D9" i="32"/>
  <c r="H9" i="32" s="1"/>
  <c r="D8" i="32"/>
  <c r="H8" i="32" s="1"/>
  <c r="G6" i="37" l="1"/>
  <c r="E11" i="37"/>
  <c r="E7" i="37"/>
  <c r="F11" i="37"/>
  <c r="F7" i="37"/>
  <c r="E10" i="37"/>
  <c r="E8" i="37"/>
  <c r="F10" i="37"/>
  <c r="E6" i="37"/>
  <c r="G10" i="37"/>
  <c r="F6" i="37"/>
  <c r="E12" i="37"/>
  <c r="H9" i="37"/>
  <c r="G7" i="37"/>
  <c r="F8" i="37"/>
  <c r="E9" i="37"/>
  <c r="G11" i="37"/>
  <c r="F12" i="37"/>
  <c r="G8" i="37"/>
  <c r="F9" i="37"/>
  <c r="G12" i="37"/>
  <c r="G10" i="35"/>
  <c r="G6" i="36"/>
  <c r="E11" i="36"/>
  <c r="E10" i="36"/>
  <c r="F11" i="36"/>
  <c r="F10" i="36"/>
  <c r="E8" i="36"/>
  <c r="E11" i="35"/>
  <c r="E6" i="36"/>
  <c r="E7" i="36"/>
  <c r="G10" i="36"/>
  <c r="F11" i="35"/>
  <c r="F6" i="36"/>
  <c r="F7" i="36"/>
  <c r="E12" i="36"/>
  <c r="H9" i="36"/>
  <c r="G6" i="35"/>
  <c r="G7" i="36"/>
  <c r="F8" i="36"/>
  <c r="E9" i="36"/>
  <c r="G11" i="36"/>
  <c r="F12" i="36"/>
  <c r="E10" i="35"/>
  <c r="G8" i="36"/>
  <c r="F9" i="36"/>
  <c r="G12" i="36"/>
  <c r="F10" i="35"/>
  <c r="E6" i="35"/>
  <c r="E7" i="35"/>
  <c r="E8" i="35"/>
  <c r="F6" i="35"/>
  <c r="F7" i="35"/>
  <c r="E12" i="35"/>
  <c r="H9" i="35"/>
  <c r="G7" i="35"/>
  <c r="F8" i="35"/>
  <c r="E9" i="35"/>
  <c r="G11" i="35"/>
  <c r="F12" i="35"/>
  <c r="G8" i="35"/>
  <c r="F9" i="35"/>
  <c r="G12" i="35"/>
  <c r="H12" i="32"/>
  <c r="H11" i="32"/>
  <c r="G12" i="32"/>
  <c r="F12" i="32"/>
  <c r="G11" i="32"/>
  <c r="F11" i="32"/>
  <c r="E7" i="32"/>
  <c r="F7" i="32"/>
  <c r="G7" i="32"/>
  <c r="E8" i="32"/>
  <c r="G9" i="32"/>
  <c r="E9" i="32"/>
  <c r="E10" i="32"/>
  <c r="E6" i="32"/>
  <c r="F9" i="32"/>
  <c r="F10" i="32"/>
  <c r="F6" i="32"/>
  <c r="F8" i="32"/>
  <c r="G10" i="32"/>
  <c r="G6" i="32"/>
  <c r="G8" i="32"/>
</calcChain>
</file>

<file path=xl/sharedStrings.xml><?xml version="1.0" encoding="utf-8"?>
<sst xmlns="http://schemas.openxmlformats.org/spreadsheetml/2006/main" count="160" uniqueCount="26">
  <si>
    <t xml:space="preserve">Rafi </t>
  </si>
  <si>
    <t>No</t>
  </si>
  <si>
    <t xml:space="preserve">Nama </t>
  </si>
  <si>
    <t>Tanggal Lahir</t>
  </si>
  <si>
    <t>No. Telf</t>
  </si>
  <si>
    <t>(+62)</t>
  </si>
  <si>
    <t xml:space="preserve">Biodata Peserta Didik ADORA Basketball Club </t>
  </si>
  <si>
    <t>Tahun</t>
  </si>
  <si>
    <t>Hari</t>
  </si>
  <si>
    <t xml:space="preserve">Tanggal Sekarang </t>
  </si>
  <si>
    <t>Umur</t>
  </si>
  <si>
    <t>Bulan</t>
  </si>
  <si>
    <t>Kelompok Umur</t>
  </si>
  <si>
    <t>KU 12</t>
  </si>
  <si>
    <t>KU 14</t>
  </si>
  <si>
    <t>Kelompok Umur (Ganjil)</t>
  </si>
  <si>
    <t>KU 10</t>
  </si>
  <si>
    <t>KU 9</t>
  </si>
  <si>
    <t>KU 13</t>
  </si>
  <si>
    <t>KU 15</t>
  </si>
  <si>
    <t xml:space="preserve">Muhammad Nidaal Hafuja </t>
  </si>
  <si>
    <t xml:space="preserve">Deanan Nahum Wijanarko </t>
  </si>
  <si>
    <t>Muhammad Fariq Iqbal</t>
  </si>
  <si>
    <t xml:space="preserve">Bilal Achmad Wibisono </t>
  </si>
  <si>
    <t xml:space="preserve">Al Fajri Subhan Rahman </t>
  </si>
  <si>
    <t>Muhammad Hanzalah Yusuf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</si>
</sst>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15" fontId="0" fillId="0" borderId="0" xfId="0" applyNumberFormat="1"/>
    <xf numFmtId="0" fontId="0" fillId="0" borderId="1" xfId="0" applyBorder="1" applyAlignment="1">
      <alignment horizontal="center" vertical="center"/>
    </xf>
    <xf numFmtId="0" fontId="1" fillId="0" borderId="0" xfId="0" applyFont="1"/>
    <xf numFmtId="164" fontId="2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164" fontId="0" fillId="4" borderId="1" xfId="0" applyNumberFormat="1" applyFill="1" applyBorder="1" applyAlignment="1">
      <alignment horizontal="left" vertical="center"/>
    </xf>
    <xf numFmtId="164" fontId="0" fillId="4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left" vertical="center"/>
    </xf>
    <xf numFmtId="164" fontId="0" fillId="6" borderId="1" xfId="0" applyNumberFormat="1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4" fontId="0" fillId="0" borderId="1" xfId="0" applyNumberFormat="1" applyBorder="1"/>
    <xf numFmtId="164" fontId="0" fillId="0" borderId="0" xfId="0" applyNumberFormat="1" applyAlignment="1">
      <alignment horizontal="left"/>
    </xf>
    <xf numFmtId="0" fontId="0" fillId="0" borderId="1" xfId="0" applyBorder="1" applyAlignment="1">
      <alignment horizontal="left" vertical="center"/>
    </xf>
    <xf numFmtId="164" fontId="0" fillId="6" borderId="1" xfId="0" applyNumberForma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60EA6"/>
      <color rgb="FFB362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microsoft.com/office/2017/10/relationships/person" Target="persons/person0.xml"/><Relationship Id="rId7" Type="http://schemas.openxmlformats.org/officeDocument/2006/relationships/sharedStrings" Target="sharedStrings.xml"/><Relationship Id="rId17" Type="http://schemas.microsoft.com/office/2017/10/relationships/person" Target="persons/person5.xml"/><Relationship Id="rId2" Type="http://schemas.openxmlformats.org/officeDocument/2006/relationships/worksheet" Target="worksheets/sheet2.xml"/><Relationship Id="rId20" Type="http://schemas.microsoft.com/office/2017/10/relationships/person" Target="persons/person6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24" Type="http://schemas.microsoft.com/office/2017/10/relationships/person" Target="persons/person3.xml"/><Relationship Id="rId5" Type="http://schemas.openxmlformats.org/officeDocument/2006/relationships/theme" Target="theme/theme1.xml"/><Relationship Id="rId23" Type="http://schemas.microsoft.com/office/2017/10/relationships/person" Target="persons/person2.xml"/><Relationship Id="rId19" Type="http://schemas.microsoft.com/office/2017/10/relationships/person" Target="persons/person1.xml"/><Relationship Id="rId4" Type="http://schemas.openxmlformats.org/officeDocument/2006/relationships/worksheet" Target="worksheets/sheet4.xml"/><Relationship Id="rId22" Type="http://schemas.microsoft.com/office/2017/10/relationships/person" Target="persons/person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071DD-156D-4C85-B8D6-96488686A939}">
  <dimension ref="A2:R1048480"/>
  <sheetViews>
    <sheetView zoomScale="76" zoomScaleNormal="76" workbookViewId="0">
      <selection activeCell="D18" sqref="D18"/>
    </sheetView>
  </sheetViews>
  <sheetFormatPr defaultRowHeight="14.5" x14ac:dyDescent="0.35"/>
  <cols>
    <col min="1" max="1" width="4.36328125" customWidth="1"/>
    <col min="2" max="2" width="28.90625" bestFit="1" customWidth="1"/>
    <col min="3" max="3" width="17.6328125" style="20" customWidth="1"/>
    <col min="4" max="4" width="17.54296875" bestFit="1" customWidth="1"/>
    <col min="5" max="5" width="6.81640625" bestFit="1" customWidth="1"/>
    <col min="6" max="6" width="6.1796875" bestFit="1" customWidth="1"/>
    <col min="7" max="7" width="4.6328125" bestFit="1" customWidth="1"/>
    <col min="8" max="8" width="23.54296875" bestFit="1" customWidth="1"/>
    <col min="9" max="9" width="16" bestFit="1" customWidth="1"/>
    <col min="10" max="10" width="15.7265625" style="17" customWidth="1"/>
    <col min="11" max="11" width="18.26953125" bestFit="1" customWidth="1"/>
    <col min="12" max="12" width="14.90625" hidden="1" customWidth="1"/>
    <col min="13" max="13" width="10.453125" hidden="1" customWidth="1"/>
  </cols>
  <sheetData>
    <row r="2" spans="1:18" x14ac:dyDescent="0.35">
      <c r="A2" s="4" t="s">
        <v>6</v>
      </c>
    </row>
    <row r="4" spans="1:18" ht="15.5" customHeight="1" x14ac:dyDescent="0.35">
      <c r="A4" s="24" t="s">
        <v>1</v>
      </c>
      <c r="B4" s="24" t="s">
        <v>2</v>
      </c>
      <c r="C4" s="25" t="s">
        <v>3</v>
      </c>
      <c r="D4" s="26" t="s">
        <v>9</v>
      </c>
      <c r="E4" s="26" t="s">
        <v>10</v>
      </c>
      <c r="F4" s="26"/>
      <c r="G4" s="26"/>
      <c r="H4" s="26" t="s">
        <v>10</v>
      </c>
      <c r="I4" s="23" t="s">
        <v>12</v>
      </c>
      <c r="J4" s="23" t="s">
        <v>15</v>
      </c>
      <c r="K4" s="24" t="s">
        <v>4</v>
      </c>
      <c r="L4" s="1"/>
      <c r="M4" s="1"/>
    </row>
    <row r="5" spans="1:18" ht="15.5" customHeight="1" x14ac:dyDescent="0.35">
      <c r="A5" s="24"/>
      <c r="B5" s="24"/>
      <c r="C5" s="25"/>
      <c r="D5" s="26"/>
      <c r="E5" s="5" t="s">
        <v>7</v>
      </c>
      <c r="F5" s="5" t="s">
        <v>11</v>
      </c>
      <c r="G5" s="5" t="s">
        <v>8</v>
      </c>
      <c r="H5" s="26"/>
      <c r="I5" s="23"/>
      <c r="J5" s="23"/>
      <c r="K5" s="24"/>
      <c r="L5" s="1"/>
      <c r="M5" s="19"/>
    </row>
    <row r="6" spans="1:18" x14ac:dyDescent="0.35">
      <c r="A6" s="3">
        <v>1</v>
      </c>
      <c r="B6" s="6" t="s">
        <v>22</v>
      </c>
      <c r="C6" s="7">
        <v>42377</v>
      </c>
      <c r="D6" s="8">
        <f t="shared" ref="D6" ca="1" si="0">TODAY()</f>
        <v>46118</v>
      </c>
      <c r="E6" s="9">
        <f t="shared" ref="E6" ca="1" si="1">DATEDIF(C6,D6,"Y")</f>
        <v>10</v>
      </c>
      <c r="F6" s="9">
        <f t="shared" ref="F6" ca="1" si="2">DATEDIF(C6,D6,"YM")</f>
        <v>2</v>
      </c>
      <c r="G6" s="9">
        <f t="shared" ref="G6" ca="1" si="3">DATEDIF(C6,D6,"MD")</f>
        <v>29</v>
      </c>
      <c r="H6" s="10" t="str">
        <f t="shared" ref="H6" ca="1" si="4">DATEDIF(C6,D6,"Y")&amp;" Tahun "&amp;DATEDIF(C6,D6,"YM")&amp;" Bulan "&amp;DATEDIF(C6,D6,"MD")&amp;" Hari"</f>
        <v>10 Tahun 2 Bulan 29 Hari</v>
      </c>
      <c r="I6" s="8" t="s">
        <v>16</v>
      </c>
      <c r="J6" s="18" t="s">
        <v>17</v>
      </c>
      <c r="K6" s="1"/>
      <c r="L6" s="1">
        <v>1</v>
      </c>
      <c r="M6" s="1"/>
    </row>
    <row r="7" spans="1:18" x14ac:dyDescent="0.35">
      <c r="A7" s="3">
        <v>2</v>
      </c>
      <c r="B7" s="6" t="s">
        <v>23</v>
      </c>
      <c r="C7" s="22">
        <v>41325</v>
      </c>
      <c r="D7" s="12">
        <f t="shared" ref="D7:D12" ca="1" si="5">TODAY()</f>
        <v>46118</v>
      </c>
      <c r="E7" s="13">
        <f t="shared" ref="E7:E12" ca="1" si="6">DATEDIF(C7,D7,"Y")</f>
        <v>13</v>
      </c>
      <c r="F7" s="13">
        <f t="shared" ref="F7:F12" ca="1" si="7">DATEDIF(C7,D7,"YM")</f>
        <v>1</v>
      </c>
      <c r="G7" s="13">
        <f t="shared" ref="G7:G12" ca="1" si="8">DATEDIF(C7,D7,"MD")</f>
        <v>17</v>
      </c>
      <c r="H7" s="14" t="str">
        <f t="shared" ref="H7:H12" ca="1" si="9">DATEDIF(C7,D7,"Y")&amp;" Tahun "&amp;DATEDIF(C7,D7,"YM")&amp;" Bulan "&amp;DATEDIF(C7,D7,"MD")&amp;" Hari"</f>
        <v>13 Tahun 1 Bulan 17 Hari</v>
      </c>
      <c r="I7" s="13" t="s">
        <v>13</v>
      </c>
      <c r="J7" s="11" t="s">
        <v>18</v>
      </c>
      <c r="K7" s="21" t="s">
        <v>5</v>
      </c>
      <c r="L7" s="1"/>
      <c r="M7" s="1"/>
    </row>
    <row r="8" spans="1:18" x14ac:dyDescent="0.35">
      <c r="A8" s="3">
        <v>3</v>
      </c>
      <c r="B8" s="6" t="s">
        <v>20</v>
      </c>
      <c r="C8" s="15">
        <v>41142</v>
      </c>
      <c r="D8" s="12">
        <f t="shared" ca="1" si="5"/>
        <v>46118</v>
      </c>
      <c r="E8" s="13">
        <f t="shared" ca="1" si="6"/>
        <v>13</v>
      </c>
      <c r="F8" s="13">
        <f t="shared" ca="1" si="7"/>
        <v>7</v>
      </c>
      <c r="G8" s="13">
        <f t="shared" ca="1" si="8"/>
        <v>16</v>
      </c>
      <c r="H8" s="14" t="str">
        <f t="shared" ca="1" si="9"/>
        <v>13 Tahun 7 Bulan 16 Hari</v>
      </c>
      <c r="I8" s="13" t="s">
        <v>19</v>
      </c>
      <c r="J8" s="11" t="s">
        <v>14</v>
      </c>
      <c r="K8" s="21" t="s">
        <v>5</v>
      </c>
      <c r="L8" s="1">
        <v>1</v>
      </c>
      <c r="M8" s="1"/>
    </row>
    <row r="9" spans="1:18" x14ac:dyDescent="0.35">
      <c r="A9" s="3">
        <v>4</v>
      </c>
      <c r="B9" s="6" t="s">
        <v>0</v>
      </c>
      <c r="C9" s="15">
        <v>41089</v>
      </c>
      <c r="D9" s="12">
        <f t="shared" ca="1" si="5"/>
        <v>46118</v>
      </c>
      <c r="E9" s="13">
        <f t="shared" ca="1" si="6"/>
        <v>13</v>
      </c>
      <c r="F9" s="13">
        <f t="shared" ca="1" si="7"/>
        <v>9</v>
      </c>
      <c r="G9" s="13">
        <f t="shared" ca="1" si="8"/>
        <v>8</v>
      </c>
      <c r="H9" s="14" t="str">
        <f t="shared" ca="1" si="9"/>
        <v>13 Tahun 9 Bulan 8 Hari</v>
      </c>
      <c r="I9" s="13" t="s">
        <v>19</v>
      </c>
      <c r="J9" s="11" t="s">
        <v>14</v>
      </c>
      <c r="K9" s="21" t="s">
        <v>5</v>
      </c>
      <c r="L9" s="1">
        <v>1</v>
      </c>
      <c r="M9" s="1"/>
      <c r="R9" s="2"/>
    </row>
    <row r="10" spans="1:18" x14ac:dyDescent="0.35">
      <c r="A10" s="3">
        <v>5</v>
      </c>
      <c r="B10" s="6" t="s">
        <v>21</v>
      </c>
      <c r="C10" s="15">
        <v>41011</v>
      </c>
      <c r="D10" s="12">
        <f t="shared" ca="1" si="5"/>
        <v>46118</v>
      </c>
      <c r="E10" s="13">
        <f t="shared" ca="1" si="6"/>
        <v>13</v>
      </c>
      <c r="F10" s="13">
        <f t="shared" ca="1" si="7"/>
        <v>11</v>
      </c>
      <c r="G10" s="13">
        <f t="shared" ca="1" si="8"/>
        <v>25</v>
      </c>
      <c r="H10" s="14" t="str">
        <f t="shared" ca="1" si="9"/>
        <v>13 Tahun 11 Bulan 25 Hari</v>
      </c>
      <c r="I10" s="13" t="s">
        <v>19</v>
      </c>
      <c r="J10" s="11" t="s">
        <v>14</v>
      </c>
      <c r="K10" s="21" t="s">
        <v>5</v>
      </c>
    </row>
    <row r="11" spans="1:18" x14ac:dyDescent="0.35">
      <c r="A11" s="3">
        <v>6</v>
      </c>
      <c r="B11" s="6" t="s">
        <v>24</v>
      </c>
      <c r="C11" s="22">
        <v>40748</v>
      </c>
      <c r="D11" s="12">
        <f t="shared" ca="1" si="5"/>
        <v>46118</v>
      </c>
      <c r="E11" s="13">
        <f t="shared" ca="1" si="6"/>
        <v>14</v>
      </c>
      <c r="F11" s="13">
        <f t="shared" ca="1" si="7"/>
        <v>8</v>
      </c>
      <c r="G11" s="13">
        <f t="shared" ca="1" si="8"/>
        <v>13</v>
      </c>
      <c r="H11" s="14" t="str">
        <f t="shared" ca="1" si="9"/>
        <v>14 Tahun 8 Bulan 13 Hari</v>
      </c>
      <c r="I11" s="13" t="s">
        <v>19</v>
      </c>
      <c r="J11" s="11" t="s">
        <v>14</v>
      </c>
      <c r="K11" s="21" t="s">
        <v>5</v>
      </c>
    </row>
    <row r="12" spans="1:18" x14ac:dyDescent="0.35">
      <c r="A12" s="3">
        <v>7</v>
      </c>
      <c r="B12" s="6" t="s">
        <v>25</v>
      </c>
      <c r="C12" s="22">
        <v>40493</v>
      </c>
      <c r="D12" s="12">
        <f t="shared" ca="1" si="5"/>
        <v>46118</v>
      </c>
      <c r="E12" s="13">
        <f t="shared" ca="1" si="6"/>
        <v>15</v>
      </c>
      <c r="F12" s="13">
        <f t="shared" ca="1" si="7"/>
        <v>4</v>
      </c>
      <c r="G12" s="13">
        <f t="shared" ca="1" si="8"/>
        <v>26</v>
      </c>
      <c r="H12" s="14" t="str">
        <f t="shared" ca="1" si="9"/>
        <v>15 Tahun 4 Bulan 26 Hari</v>
      </c>
      <c r="I12" s="13" t="s">
        <v>19</v>
      </c>
      <c r="J12" s="11" t="s">
        <v>14</v>
      </c>
      <c r="K12" s="21" t="s">
        <v>5</v>
      </c>
    </row>
    <row r="13" spans="1:18" x14ac:dyDescent="0.35">
      <c r="A13" s="20"/>
      <c r="C13"/>
      <c r="G13" s="17"/>
      <c r="J13"/>
    </row>
    <row r="14" spans="1:18" x14ac:dyDescent="0.35">
      <c r="A14" s="20"/>
      <c r="C14"/>
      <c r="G14" s="17"/>
      <c r="J14"/>
    </row>
    <row r="15" spans="1:18" x14ac:dyDescent="0.35">
      <c r="A15" s="20"/>
      <c r="C15"/>
      <c r="G15" s="17"/>
      <c r="J15"/>
    </row>
    <row r="16" spans="1:18" x14ac:dyDescent="0.35">
      <c r="A16" s="20"/>
      <c r="C16"/>
      <c r="G16" s="17"/>
      <c r="J16"/>
    </row>
    <row r="17" spans="1:10" x14ac:dyDescent="0.35">
      <c r="A17" s="20"/>
      <c r="C17"/>
      <c r="G17" s="17"/>
      <c r="J17"/>
    </row>
    <row r="18" spans="1:10" x14ac:dyDescent="0.35">
      <c r="A18" s="20"/>
      <c r="C18"/>
      <c r="G18" s="17"/>
      <c r="J18"/>
    </row>
    <row r="19" spans="1:10" x14ac:dyDescent="0.35">
      <c r="A19" s="20"/>
      <c r="C19"/>
      <c r="G19" s="17"/>
      <c r="J19"/>
    </row>
    <row r="20" spans="1:10" x14ac:dyDescent="0.35">
      <c r="A20" s="20"/>
      <c r="C20"/>
      <c r="G20" s="17"/>
      <c r="J20"/>
    </row>
    <row r="21" spans="1:10" x14ac:dyDescent="0.35">
      <c r="I21" s="17"/>
      <c r="J21"/>
    </row>
    <row r="22" spans="1:10" x14ac:dyDescent="0.35">
      <c r="I22" s="17"/>
      <c r="J22"/>
    </row>
    <row r="23" spans="1:10" x14ac:dyDescent="0.35">
      <c r="I23" s="17"/>
      <c r="J23"/>
    </row>
    <row r="24" spans="1:10" x14ac:dyDescent="0.35">
      <c r="I24" s="17"/>
      <c r="J24"/>
    </row>
    <row r="25" spans="1:10" x14ac:dyDescent="0.35">
      <c r="I25" s="17"/>
      <c r="J25"/>
    </row>
    <row r="26" spans="1:10" x14ac:dyDescent="0.35">
      <c r="I26" s="17"/>
      <c r="J26"/>
    </row>
    <row r="27" spans="1:10" x14ac:dyDescent="0.35">
      <c r="I27" s="17"/>
      <c r="J27"/>
    </row>
    <row r="28" spans="1:10" x14ac:dyDescent="0.35">
      <c r="I28" s="17"/>
      <c r="J28"/>
    </row>
    <row r="29" spans="1:10" x14ac:dyDescent="0.35">
      <c r="I29" s="17"/>
      <c r="J29"/>
    </row>
    <row r="30" spans="1:10" x14ac:dyDescent="0.35">
      <c r="I30" s="17"/>
      <c r="J30"/>
    </row>
    <row r="31" spans="1:10" x14ac:dyDescent="0.35">
      <c r="I31" s="17"/>
      <c r="J31"/>
    </row>
    <row r="1048480" spans="10:10" x14ac:dyDescent="0.35">
      <c r="J1048480" s="16"/>
    </row>
  </sheetData>
  <sortState xmlns:xlrd2="http://schemas.microsoft.com/office/spreadsheetml/2017/richdata2" ref="B7:K12">
    <sortCondition descending="1" ref="C7:C12"/>
  </sortState>
  <mergeCells count="9">
    <mergeCell ref="I4:I5"/>
    <mergeCell ref="J4:J5"/>
    <mergeCell ref="K4:K5"/>
    <mergeCell ref="A4:A5"/>
    <mergeCell ref="B4:B5"/>
    <mergeCell ref="C4:C5"/>
    <mergeCell ref="D4:D5"/>
    <mergeCell ref="E4:G4"/>
    <mergeCell ref="H4:H5"/>
  </mergeCells>
  <phoneticPr fontId="3" type="noConversion"/>
  <pageMargins left="0.7" right="0.7" top="0.75" bottom="0.75" header="0.3" footer="0.3"/>
  <pageSetup paperSize="9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F58B2-1595-4C7E-A3DD-3073AE1B7B92}">
  <dimension ref="A2:R1048480"/>
  <sheetViews>
    <sheetView zoomScale="76" zoomScaleNormal="76" workbookViewId="0">
      <selection activeCell="D18" sqref="D18"/>
    </sheetView>
  </sheetViews>
  <sheetFormatPr defaultRowHeight="14.5" x14ac:dyDescent="0.35"/>
  <cols>
    <col min="1" max="1" width="4.36328125" customWidth="1"/>
    <col min="2" max="2" width="28.90625" bestFit="1" customWidth="1"/>
    <col min="3" max="3" width="17.6328125" style="20" customWidth="1"/>
    <col min="4" max="4" width="17.54296875" bestFit="1" customWidth="1"/>
    <col min="5" max="5" width="6.81640625" bestFit="1" customWidth="1"/>
    <col min="6" max="6" width="6.1796875" bestFit="1" customWidth="1"/>
    <col min="7" max="7" width="4.6328125" bestFit="1" customWidth="1"/>
    <col min="8" max="8" width="23.54296875" bestFit="1" customWidth="1"/>
    <col min="9" max="9" width="16" bestFit="1" customWidth="1"/>
    <col min="10" max="10" width="15.7265625" style="17" customWidth="1"/>
    <col min="11" max="11" width="18.26953125" bestFit="1" customWidth="1"/>
    <col min="12" max="12" width="14.90625" hidden="1" customWidth="1"/>
    <col min="13" max="13" width="10.453125" hidden="1" customWidth="1"/>
  </cols>
  <sheetData>
    <row r="2" spans="1:18" x14ac:dyDescent="0.35">
      <c r="A2" s="4" t="s">
        <v>6</v>
      </c>
    </row>
    <row r="4" spans="1:18" ht="15.5" customHeight="1" x14ac:dyDescent="0.35">
      <c r="A4" s="24" t="s">
        <v>1</v>
      </c>
      <c r="B4" s="24" t="s">
        <v>2</v>
      </c>
      <c r="C4" s="25" t="s">
        <v>3</v>
      </c>
      <c r="D4" s="26" t="s">
        <v>9</v>
      </c>
      <c r="E4" s="26" t="s">
        <v>10</v>
      </c>
      <c r="F4" s="26"/>
      <c r="G4" s="26"/>
      <c r="H4" s="26" t="s">
        <v>10</v>
      </c>
      <c r="I4" s="23" t="s">
        <v>12</v>
      </c>
      <c r="J4" s="23" t="s">
        <v>15</v>
      </c>
      <c r="K4" s="24" t="s">
        <v>4</v>
      </c>
      <c r="L4" s="1"/>
      <c r="M4" s="1"/>
    </row>
    <row r="5" spans="1:18" ht="15.5" customHeight="1" x14ac:dyDescent="0.35">
      <c r="A5" s="24"/>
      <c r="B5" s="24"/>
      <c r="C5" s="25"/>
      <c r="D5" s="26"/>
      <c r="E5" s="5" t="s">
        <v>7</v>
      </c>
      <c r="F5" s="5" t="s">
        <v>11</v>
      </c>
      <c r="G5" s="5" t="s">
        <v>8</v>
      </c>
      <c r="H5" s="26"/>
      <c r="I5" s="23"/>
      <c r="J5" s="23"/>
      <c r="K5" s="24"/>
      <c r="L5" s="1"/>
      <c r="M5" s="19"/>
    </row>
    <row r="6" spans="1:18" x14ac:dyDescent="0.35">
      <c r="A6" s="3">
        <v>1</v>
      </c>
      <c r="B6" s="6" t="s">
        <v>22</v>
      </c>
      <c r="C6" s="7">
        <v>42377</v>
      </c>
      <c r="D6" s="8">
        <f t="shared" ref="D6:D12" ca="1" si="0">TODAY()</f>
        <v>46118</v>
      </c>
      <c r="E6" s="9">
        <f t="shared" ref="E6:E12" ca="1" si="1">DATEDIF(C6,D6,"Y")</f>
        <v>10</v>
      </c>
      <c r="F6" s="9">
        <f t="shared" ref="F6:F12" ca="1" si="2">DATEDIF(C6,D6,"YM")</f>
        <v>2</v>
      </c>
      <c r="G6" s="9">
        <f t="shared" ref="G6:G12" ca="1" si="3">DATEDIF(C6,D6,"MD")</f>
        <v>29</v>
      </c>
      <c r="H6" s="10" t="str">
        <f t="shared" ref="H6:H12" ca="1" si="4">DATEDIF(C6,D6,"Y")&amp;" Tahun "&amp;DATEDIF(C6,D6,"YM")&amp;" Bulan "&amp;DATEDIF(C6,D6,"MD")&amp;" Hari"</f>
        <v>10 Tahun 2 Bulan 29 Hari</v>
      </c>
      <c r="I6" s="8" t="s">
        <v>16</v>
      </c>
      <c r="J6" s="18" t="s">
        <v>17</v>
      </c>
      <c r="K6" s="1"/>
      <c r="L6" s="1">
        <v>1</v>
      </c>
      <c r="M6" s="1"/>
    </row>
    <row r="7" spans="1:18" x14ac:dyDescent="0.35">
      <c r="A7" s="3">
        <v>2</v>
      </c>
      <c r="B7" s="6" t="s">
        <v>23</v>
      </c>
      <c r="C7" s="22">
        <v>41325</v>
      </c>
      <c r="D7" s="12">
        <f t="shared" ca="1" si="0"/>
        <v>46118</v>
      </c>
      <c r="E7" s="13">
        <f t="shared" ca="1" si="1"/>
        <v>13</v>
      </c>
      <c r="F7" s="13">
        <f t="shared" ca="1" si="2"/>
        <v>1</v>
      </c>
      <c r="G7" s="13">
        <f t="shared" ca="1" si="3"/>
        <v>17</v>
      </c>
      <c r="H7" s="14" t="str">
        <f t="shared" ca="1" si="4"/>
        <v>13 Tahun 1 Bulan 17 Hari</v>
      </c>
      <c r="I7" s="13" t="s">
        <v>13</v>
      </c>
      <c r="J7" s="11" t="s">
        <v>18</v>
      </c>
      <c r="K7" s="21" t="s">
        <v>5</v>
      </c>
      <c r="L7" s="1"/>
      <c r="M7" s="1"/>
    </row>
    <row r="8" spans="1:18" x14ac:dyDescent="0.35">
      <c r="A8" s="3">
        <v>3</v>
      </c>
      <c r="B8" s="6" t="s">
        <v>20</v>
      </c>
      <c r="C8" s="15">
        <v>41142</v>
      </c>
      <c r="D8" s="12">
        <f t="shared" ca="1" si="0"/>
        <v>46118</v>
      </c>
      <c r="E8" s="13">
        <f t="shared" ca="1" si="1"/>
        <v>13</v>
      </c>
      <c r="F8" s="13">
        <f t="shared" ca="1" si="2"/>
        <v>7</v>
      </c>
      <c r="G8" s="13">
        <f t="shared" ca="1" si="3"/>
        <v>16</v>
      </c>
      <c r="H8" s="14" t="str">
        <f t="shared" ca="1" si="4"/>
        <v>13 Tahun 7 Bulan 16 Hari</v>
      </c>
      <c r="I8" s="13" t="s">
        <v>19</v>
      </c>
      <c r="J8" s="11" t="s">
        <v>14</v>
      </c>
      <c r="K8" s="21" t="s">
        <v>5</v>
      </c>
      <c r="L8" s="1">
        <v>1</v>
      </c>
      <c r="M8" s="1"/>
    </row>
    <row r="9" spans="1:18" x14ac:dyDescent="0.35">
      <c r="A9" s="3">
        <v>4</v>
      </c>
      <c r="B9" s="6" t="s">
        <v>0</v>
      </c>
      <c r="C9" s="15">
        <v>41089</v>
      </c>
      <c r="D9" s="12">
        <f t="shared" ca="1" si="0"/>
        <v>46118</v>
      </c>
      <c r="E9" s="13">
        <f t="shared" ca="1" si="1"/>
        <v>13</v>
      </c>
      <c r="F9" s="13">
        <f t="shared" ca="1" si="2"/>
        <v>9</v>
      </c>
      <c r="G9" s="13">
        <f t="shared" ca="1" si="3"/>
        <v>8</v>
      </c>
      <c r="H9" s="14" t="str">
        <f t="shared" ca="1" si="4"/>
        <v>13 Tahun 9 Bulan 8 Hari</v>
      </c>
      <c r="I9" s="13" t="s">
        <v>19</v>
      </c>
      <c r="J9" s="11" t="s">
        <v>14</v>
      </c>
      <c r="K9" s="21" t="s">
        <v>5</v>
      </c>
      <c r="L9" s="1">
        <v>1</v>
      </c>
      <c r="M9" s="1"/>
      <c r="R9" s="2"/>
    </row>
    <row r="10" spans="1:18" x14ac:dyDescent="0.35">
      <c r="A10" s="3">
        <v>5</v>
      </c>
      <c r="B10" s="6" t="s">
        <v>21</v>
      </c>
      <c r="C10" s="15">
        <v>41011</v>
      </c>
      <c r="D10" s="12">
        <f t="shared" ca="1" si="0"/>
        <v>46118</v>
      </c>
      <c r="E10" s="13">
        <f t="shared" ca="1" si="1"/>
        <v>13</v>
      </c>
      <c r="F10" s="13">
        <f t="shared" ca="1" si="2"/>
        <v>11</v>
      </c>
      <c r="G10" s="13">
        <f t="shared" ca="1" si="3"/>
        <v>25</v>
      </c>
      <c r="H10" s="14" t="str">
        <f t="shared" ca="1" si="4"/>
        <v>13 Tahun 11 Bulan 25 Hari</v>
      </c>
      <c r="I10" s="13" t="s">
        <v>19</v>
      </c>
      <c r="J10" s="11" t="s">
        <v>14</v>
      </c>
      <c r="K10" s="21" t="s">
        <v>5</v>
      </c>
    </row>
    <row r="11" spans="1:18" x14ac:dyDescent="0.35">
      <c r="A11" s="3">
        <v>6</v>
      </c>
      <c r="B11" s="6" t="s">
        <v>24</v>
      </c>
      <c r="C11" s="22">
        <v>40748</v>
      </c>
      <c r="D11" s="12">
        <f t="shared" ca="1" si="0"/>
        <v>46118</v>
      </c>
      <c r="E11" s="13">
        <f t="shared" ca="1" si="1"/>
        <v>14</v>
      </c>
      <c r="F11" s="13">
        <f t="shared" ca="1" si="2"/>
        <v>8</v>
      </c>
      <c r="G11" s="13">
        <f t="shared" ca="1" si="3"/>
        <v>13</v>
      </c>
      <c r="H11" s="14" t="str">
        <f t="shared" ca="1" si="4"/>
        <v>14 Tahun 8 Bulan 13 Hari</v>
      </c>
      <c r="I11" s="13" t="s">
        <v>19</v>
      </c>
      <c r="J11" s="11" t="s">
        <v>14</v>
      </c>
      <c r="K11" s="21" t="s">
        <v>5</v>
      </c>
    </row>
    <row r="12" spans="1:18" x14ac:dyDescent="0.35">
      <c r="A12" s="3">
        <v>7</v>
      </c>
      <c r="B12" s="6" t="s">
        <v>25</v>
      </c>
      <c r="C12" s="22">
        <v>40493</v>
      </c>
      <c r="D12" s="12">
        <f t="shared" ca="1" si="0"/>
        <v>46118</v>
      </c>
      <c r="E12" s="13">
        <f t="shared" ca="1" si="1"/>
        <v>15</v>
      </c>
      <c r="F12" s="13">
        <f t="shared" ca="1" si="2"/>
        <v>4</v>
      </c>
      <c r="G12" s="13">
        <f t="shared" ca="1" si="3"/>
        <v>26</v>
      </c>
      <c r="H12" s="14" t="str">
        <f t="shared" ca="1" si="4"/>
        <v>15 Tahun 4 Bulan 26 Hari</v>
      </c>
      <c r="I12" s="13" t="s">
        <v>19</v>
      </c>
      <c r="J12" s="11" t="s">
        <v>14</v>
      </c>
      <c r="K12" s="21" t="s">
        <v>5</v>
      </c>
    </row>
    <row r="13" spans="1:18" x14ac:dyDescent="0.35">
      <c r="A13" s="20"/>
      <c r="C13"/>
      <c r="G13" s="17"/>
      <c r="J13"/>
    </row>
    <row r="14" spans="1:18" x14ac:dyDescent="0.35">
      <c r="A14" s="20"/>
      <c r="C14"/>
      <c r="G14" s="17"/>
      <c r="J14"/>
    </row>
    <row r="15" spans="1:18" x14ac:dyDescent="0.35">
      <c r="A15" s="20"/>
      <c r="C15"/>
      <c r="G15" s="17"/>
      <c r="J15"/>
    </row>
    <row r="16" spans="1:18" x14ac:dyDescent="0.35">
      <c r="A16" s="20"/>
      <c r="C16"/>
      <c r="G16" s="17"/>
      <c r="J16"/>
    </row>
    <row r="17" spans="1:10" x14ac:dyDescent="0.35">
      <c r="A17" s="20"/>
      <c r="C17"/>
      <c r="G17" s="17"/>
      <c r="J17"/>
    </row>
    <row r="18" spans="1:10" x14ac:dyDescent="0.35">
      <c r="A18" s="20"/>
      <c r="C18"/>
      <c r="G18" s="17"/>
      <c r="J18"/>
    </row>
    <row r="19" spans="1:10" x14ac:dyDescent="0.35">
      <c r="A19" s="20"/>
      <c r="C19"/>
      <c r="G19" s="17"/>
      <c r="J19"/>
    </row>
    <row r="20" spans="1:10" x14ac:dyDescent="0.35">
      <c r="A20" s="20"/>
      <c r="C20"/>
      <c r="G20" s="17"/>
      <c r="J20"/>
    </row>
    <row r="21" spans="1:10" x14ac:dyDescent="0.35">
      <c r="I21" s="17"/>
      <c r="J21"/>
    </row>
    <row r="22" spans="1:10" x14ac:dyDescent="0.35">
      <c r="I22" s="17"/>
      <c r="J22"/>
    </row>
    <row r="23" spans="1:10" x14ac:dyDescent="0.35">
      <c r="I23" s="17"/>
      <c r="J23"/>
    </row>
    <row r="24" spans="1:10" x14ac:dyDescent="0.35">
      <c r="I24" s="17"/>
      <c r="J24"/>
    </row>
    <row r="25" spans="1:10" x14ac:dyDescent="0.35">
      <c r="I25" s="17"/>
      <c r="J25"/>
    </row>
    <row r="26" spans="1:10" x14ac:dyDescent="0.35">
      <c r="I26" s="17"/>
      <c r="J26"/>
    </row>
    <row r="27" spans="1:10" x14ac:dyDescent="0.35">
      <c r="I27" s="17"/>
      <c r="J27"/>
    </row>
    <row r="28" spans="1:10" x14ac:dyDescent="0.35">
      <c r="I28" s="17"/>
      <c r="J28"/>
    </row>
    <row r="29" spans="1:10" x14ac:dyDescent="0.35">
      <c r="I29" s="17"/>
      <c r="J29"/>
    </row>
    <row r="30" spans="1:10" x14ac:dyDescent="0.35">
      <c r="I30" s="17"/>
      <c r="J30"/>
    </row>
    <row r="31" spans="1:10" x14ac:dyDescent="0.35">
      <c r="I31" s="17"/>
      <c r="J31"/>
    </row>
    <row r="1048480" spans="10:10" x14ac:dyDescent="0.35">
      <c r="J1048480" s="16"/>
    </row>
  </sheetData>
  <mergeCells count="9">
    <mergeCell ref="I4:I5"/>
    <mergeCell ref="J4:J5"/>
    <mergeCell ref="K4:K5"/>
    <mergeCell ref="A4:A5"/>
    <mergeCell ref="B4:B5"/>
    <mergeCell ref="C4:C5"/>
    <mergeCell ref="D4:D5"/>
    <mergeCell ref="E4:G4"/>
    <mergeCell ref="H4:H5"/>
  </mergeCells>
  <pageMargins left="0.7" right="0.7" top="0.75" bottom="0.75" header="0.3" footer="0.3"/>
  <pageSetup paperSize="9" orientation="landscape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C6CF4-4E2A-488D-A3E0-C14700E68A2B}">
  <dimension ref="A2:R1048480"/>
  <sheetViews>
    <sheetView zoomScale="76" zoomScaleNormal="76" workbookViewId="0">
      <selection activeCell="D18" sqref="D18"/>
    </sheetView>
  </sheetViews>
  <sheetFormatPr defaultRowHeight="14.5" x14ac:dyDescent="0.35"/>
  <cols>
    <col min="1" max="1" width="4.36328125" customWidth="1"/>
    <col min="2" max="2" width="28.90625" bestFit="1" customWidth="1"/>
    <col min="3" max="3" width="17.6328125" style="20" customWidth="1"/>
    <col min="4" max="4" width="17.54296875" bestFit="1" customWidth="1"/>
    <col min="5" max="5" width="6.81640625" bestFit="1" customWidth="1"/>
    <col min="6" max="6" width="6.1796875" bestFit="1" customWidth="1"/>
    <col min="7" max="7" width="4.6328125" bestFit="1" customWidth="1"/>
    <col min="8" max="8" width="23.54296875" bestFit="1" customWidth="1"/>
    <col min="9" max="9" width="16" bestFit="1" customWidth="1"/>
    <col min="10" max="10" width="15.7265625" style="17" customWidth="1"/>
    <col min="11" max="11" width="18.26953125" bestFit="1" customWidth="1"/>
    <col min="12" max="12" width="14.90625" hidden="1" customWidth="1"/>
    <col min="13" max="13" width="10.453125" hidden="1" customWidth="1"/>
  </cols>
  <sheetData>
    <row r="2" spans="1:18" x14ac:dyDescent="0.35">
      <c r="A2" s="4" t="s">
        <v>6</v>
      </c>
    </row>
    <row r="4" spans="1:18" ht="15.5" customHeight="1" x14ac:dyDescent="0.35">
      <c r="A4" s="24" t="s">
        <v>1</v>
      </c>
      <c r="B4" s="24" t="s">
        <v>2</v>
      </c>
      <c r="C4" s="25" t="s">
        <v>3</v>
      </c>
      <c r="D4" s="26" t="s">
        <v>9</v>
      </c>
      <c r="E4" s="26" t="s">
        <v>10</v>
      </c>
      <c r="F4" s="26"/>
      <c r="G4" s="26"/>
      <c r="H4" s="26" t="s">
        <v>10</v>
      </c>
      <c r="I4" s="23" t="s">
        <v>12</v>
      </c>
      <c r="J4" s="23" t="s">
        <v>15</v>
      </c>
      <c r="K4" s="24" t="s">
        <v>4</v>
      </c>
      <c r="L4" s="1"/>
      <c r="M4" s="1"/>
    </row>
    <row r="5" spans="1:18" ht="15.5" customHeight="1" x14ac:dyDescent="0.35">
      <c r="A5" s="24"/>
      <c r="B5" s="24"/>
      <c r="C5" s="25"/>
      <c r="D5" s="26"/>
      <c r="E5" s="5" t="s">
        <v>7</v>
      </c>
      <c r="F5" s="5" t="s">
        <v>11</v>
      </c>
      <c r="G5" s="5" t="s">
        <v>8</v>
      </c>
      <c r="H5" s="26"/>
      <c r="I5" s="23"/>
      <c r="J5" s="23"/>
      <c r="K5" s="24"/>
      <c r="L5" s="1"/>
      <c r="M5" s="19"/>
    </row>
    <row r="6" spans="1:18" x14ac:dyDescent="0.35">
      <c r="A6" s="3">
        <v>1</v>
      </c>
      <c r="B6" s="6" t="s">
        <v>22</v>
      </c>
      <c r="C6" s="7">
        <v>42377</v>
      </c>
      <c r="D6" s="8">
        <f t="shared" ref="D6:D12" ca="1" si="0">TODAY()</f>
        <v>46118</v>
      </c>
      <c r="E6" s="9">
        <f t="shared" ref="E6:E12" ca="1" si="1">DATEDIF(C6,D6,"Y")</f>
        <v>10</v>
      </c>
      <c r="F6" s="9">
        <f t="shared" ref="F6:F12" ca="1" si="2">DATEDIF(C6,D6,"YM")</f>
        <v>2</v>
      </c>
      <c r="G6" s="9">
        <f t="shared" ref="G6:G12" ca="1" si="3">DATEDIF(C6,D6,"MD")</f>
        <v>29</v>
      </c>
      <c r="H6" s="10" t="str">
        <f t="shared" ref="H6:H12" ca="1" si="4">DATEDIF(C6,D6,"Y")&amp;" Tahun "&amp;DATEDIF(C6,D6,"YM")&amp;" Bulan "&amp;DATEDIF(C6,D6,"MD")&amp;" Hari"</f>
        <v>10 Tahun 2 Bulan 29 Hari</v>
      </c>
      <c r="I6" s="8" t="s">
        <v>16</v>
      </c>
      <c r="J6" s="18" t="s">
        <v>17</v>
      </c>
      <c r="K6" s="1"/>
      <c r="L6" s="1">
        <v>1</v>
      </c>
      <c r="M6" s="1"/>
    </row>
    <row r="7" spans="1:18" x14ac:dyDescent="0.35">
      <c r="A7" s="3">
        <v>2</v>
      </c>
      <c r="B7" s="6" t="s">
        <v>23</v>
      </c>
      <c r="C7" s="22">
        <v>41325</v>
      </c>
      <c r="D7" s="12">
        <f t="shared" ca="1" si="0"/>
        <v>46118</v>
      </c>
      <c r="E7" s="13">
        <f t="shared" ca="1" si="1"/>
        <v>13</v>
      </c>
      <c r="F7" s="13">
        <f t="shared" ca="1" si="2"/>
        <v>1</v>
      </c>
      <c r="G7" s="13">
        <f t="shared" ca="1" si="3"/>
        <v>17</v>
      </c>
      <c r="H7" s="14" t="str">
        <f t="shared" ca="1" si="4"/>
        <v>13 Tahun 1 Bulan 17 Hari</v>
      </c>
      <c r="I7" s="13" t="s">
        <v>13</v>
      </c>
      <c r="J7" s="11" t="s">
        <v>18</v>
      </c>
      <c r="K7" s="21" t="s">
        <v>5</v>
      </c>
      <c r="L7" s="1"/>
      <c r="M7" s="1"/>
    </row>
    <row r="8" spans="1:18" x14ac:dyDescent="0.35">
      <c r="A8" s="3">
        <v>3</v>
      </c>
      <c r="B8" s="6" t="s">
        <v>20</v>
      </c>
      <c r="C8" s="15">
        <v>41142</v>
      </c>
      <c r="D8" s="12">
        <f t="shared" ca="1" si="0"/>
        <v>46118</v>
      </c>
      <c r="E8" s="13">
        <f t="shared" ca="1" si="1"/>
        <v>13</v>
      </c>
      <c r="F8" s="13">
        <f t="shared" ca="1" si="2"/>
        <v>7</v>
      </c>
      <c r="G8" s="13">
        <f t="shared" ca="1" si="3"/>
        <v>16</v>
      </c>
      <c r="H8" s="14" t="str">
        <f t="shared" ca="1" si="4"/>
        <v>13 Tahun 7 Bulan 16 Hari</v>
      </c>
      <c r="I8" s="13" t="s">
        <v>19</v>
      </c>
      <c r="J8" s="11" t="s">
        <v>14</v>
      </c>
      <c r="K8" s="21" t="s">
        <v>5</v>
      </c>
      <c r="L8" s="1">
        <v>1</v>
      </c>
      <c r="M8" s="1"/>
    </row>
    <row r="9" spans="1:18" x14ac:dyDescent="0.35">
      <c r="A9" s="3">
        <v>4</v>
      </c>
      <c r="B9" s="6" t="s">
        <v>0</v>
      </c>
      <c r="C9" s="15">
        <v>41089</v>
      </c>
      <c r="D9" s="12">
        <f t="shared" ca="1" si="0"/>
        <v>46118</v>
      </c>
      <c r="E9" s="13">
        <f t="shared" ca="1" si="1"/>
        <v>13</v>
      </c>
      <c r="F9" s="13">
        <f t="shared" ca="1" si="2"/>
        <v>9</v>
      </c>
      <c r="G9" s="13">
        <f t="shared" ca="1" si="3"/>
        <v>8</v>
      </c>
      <c r="H9" s="14" t="str">
        <f t="shared" ca="1" si="4"/>
        <v>13 Tahun 9 Bulan 8 Hari</v>
      </c>
      <c r="I9" s="13" t="s">
        <v>19</v>
      </c>
      <c r="J9" s="11" t="s">
        <v>14</v>
      </c>
      <c r="K9" s="21" t="s">
        <v>5</v>
      </c>
      <c r="L9" s="1">
        <v>1</v>
      </c>
      <c r="M9" s="1"/>
      <c r="R9" s="2"/>
    </row>
    <row r="10" spans="1:18" x14ac:dyDescent="0.35">
      <c r="A10" s="3">
        <v>5</v>
      </c>
      <c r="B10" s="6" t="s">
        <v>21</v>
      </c>
      <c r="C10" s="15">
        <v>41011</v>
      </c>
      <c r="D10" s="12">
        <f t="shared" ca="1" si="0"/>
        <v>46118</v>
      </c>
      <c r="E10" s="13">
        <f t="shared" ca="1" si="1"/>
        <v>13</v>
      </c>
      <c r="F10" s="13">
        <f t="shared" ca="1" si="2"/>
        <v>11</v>
      </c>
      <c r="G10" s="13">
        <f t="shared" ca="1" si="3"/>
        <v>25</v>
      </c>
      <c r="H10" s="14" t="str">
        <f t="shared" ca="1" si="4"/>
        <v>13 Tahun 11 Bulan 25 Hari</v>
      </c>
      <c r="I10" s="13" t="s">
        <v>19</v>
      </c>
      <c r="J10" s="11" t="s">
        <v>14</v>
      </c>
      <c r="K10" s="21" t="s">
        <v>5</v>
      </c>
    </row>
    <row r="11" spans="1:18" x14ac:dyDescent="0.35">
      <c r="A11" s="3">
        <v>6</v>
      </c>
      <c r="B11" s="6" t="s">
        <v>24</v>
      </c>
      <c r="C11" s="22">
        <v>40748</v>
      </c>
      <c r="D11" s="12">
        <f t="shared" ca="1" si="0"/>
        <v>46118</v>
      </c>
      <c r="E11" s="13">
        <f t="shared" ca="1" si="1"/>
        <v>14</v>
      </c>
      <c r="F11" s="13">
        <f t="shared" ca="1" si="2"/>
        <v>8</v>
      </c>
      <c r="G11" s="13">
        <f t="shared" ca="1" si="3"/>
        <v>13</v>
      </c>
      <c r="H11" s="14" t="str">
        <f t="shared" ca="1" si="4"/>
        <v>14 Tahun 8 Bulan 13 Hari</v>
      </c>
      <c r="I11" s="13" t="s">
        <v>19</v>
      </c>
      <c r="J11" s="11" t="s">
        <v>14</v>
      </c>
      <c r="K11" s="21" t="s">
        <v>5</v>
      </c>
    </row>
    <row r="12" spans="1:18" x14ac:dyDescent="0.35">
      <c r="A12" s="3">
        <v>7</v>
      </c>
      <c r="B12" s="6" t="s">
        <v>25</v>
      </c>
      <c r="C12" s="22">
        <v>40493</v>
      </c>
      <c r="D12" s="12">
        <f t="shared" ca="1" si="0"/>
        <v>46118</v>
      </c>
      <c r="E12" s="13">
        <f t="shared" ca="1" si="1"/>
        <v>15</v>
      </c>
      <c r="F12" s="13">
        <f t="shared" ca="1" si="2"/>
        <v>4</v>
      </c>
      <c r="G12" s="13">
        <f t="shared" ca="1" si="3"/>
        <v>26</v>
      </c>
      <c r="H12" s="14" t="str">
        <f t="shared" ca="1" si="4"/>
        <v>15 Tahun 4 Bulan 26 Hari</v>
      </c>
      <c r="I12" s="13" t="s">
        <v>19</v>
      </c>
      <c r="J12" s="11" t="s">
        <v>14</v>
      </c>
      <c r="K12" s="21" t="s">
        <v>5</v>
      </c>
    </row>
    <row r="13" spans="1:18" x14ac:dyDescent="0.35">
      <c r="A13" s="20"/>
      <c r="C13"/>
      <c r="G13" s="17"/>
      <c r="J13"/>
    </row>
    <row r="14" spans="1:18" x14ac:dyDescent="0.35">
      <c r="A14" s="20"/>
      <c r="C14"/>
      <c r="G14" s="17"/>
      <c r="J14"/>
    </row>
    <row r="15" spans="1:18" x14ac:dyDescent="0.35">
      <c r="A15" s="20"/>
      <c r="C15"/>
      <c r="G15" s="17"/>
      <c r="J15"/>
    </row>
    <row r="16" spans="1:18" x14ac:dyDescent="0.35">
      <c r="A16" s="20"/>
      <c r="C16"/>
      <c r="G16" s="17"/>
      <c r="J16"/>
    </row>
    <row r="17" spans="1:10" x14ac:dyDescent="0.35">
      <c r="A17" s="20"/>
      <c r="C17"/>
      <c r="G17" s="17"/>
      <c r="J17"/>
    </row>
    <row r="18" spans="1:10" x14ac:dyDescent="0.35">
      <c r="A18" s="20"/>
      <c r="C18"/>
      <c r="G18" s="17"/>
      <c r="J18"/>
    </row>
    <row r="19" spans="1:10" x14ac:dyDescent="0.35">
      <c r="A19" s="20"/>
      <c r="C19"/>
      <c r="G19" s="17"/>
      <c r="J19"/>
    </row>
    <row r="20" spans="1:10" x14ac:dyDescent="0.35">
      <c r="A20" s="20"/>
      <c r="C20"/>
      <c r="G20" s="17"/>
      <c r="J20"/>
    </row>
    <row r="21" spans="1:10" x14ac:dyDescent="0.35">
      <c r="I21" s="17"/>
      <c r="J21"/>
    </row>
    <row r="22" spans="1:10" x14ac:dyDescent="0.35">
      <c r="I22" s="17"/>
      <c r="J22"/>
    </row>
    <row r="23" spans="1:10" x14ac:dyDescent="0.35">
      <c r="I23" s="17"/>
      <c r="J23"/>
    </row>
    <row r="24" spans="1:10" x14ac:dyDescent="0.35">
      <c r="I24" s="17"/>
      <c r="J24"/>
    </row>
    <row r="25" spans="1:10" x14ac:dyDescent="0.35">
      <c r="I25" s="17"/>
      <c r="J25"/>
    </row>
    <row r="26" spans="1:10" x14ac:dyDescent="0.35">
      <c r="I26" s="17"/>
      <c r="J26"/>
    </row>
    <row r="27" spans="1:10" x14ac:dyDescent="0.35">
      <c r="I27" s="17"/>
      <c r="J27"/>
    </row>
    <row r="28" spans="1:10" x14ac:dyDescent="0.35">
      <c r="I28" s="17"/>
      <c r="J28"/>
    </row>
    <row r="29" spans="1:10" x14ac:dyDescent="0.35">
      <c r="I29" s="17"/>
      <c r="J29"/>
    </row>
    <row r="30" spans="1:10" x14ac:dyDescent="0.35">
      <c r="I30" s="17"/>
      <c r="J30"/>
    </row>
    <row r="31" spans="1:10" x14ac:dyDescent="0.35">
      <c r="I31" s="17"/>
      <c r="J31"/>
    </row>
    <row r="1048480" spans="10:10" x14ac:dyDescent="0.35">
      <c r="J1048480" s="16"/>
    </row>
  </sheetData>
  <mergeCells count="9">
    <mergeCell ref="I4:I5"/>
    <mergeCell ref="J4:J5"/>
    <mergeCell ref="K4:K5"/>
    <mergeCell ref="A4:A5"/>
    <mergeCell ref="B4:B5"/>
    <mergeCell ref="C4:C5"/>
    <mergeCell ref="D4:D5"/>
    <mergeCell ref="E4:G4"/>
    <mergeCell ref="H4:H5"/>
  </mergeCells>
  <pageMargins left="0.7" right="0.7" top="0.75" bottom="0.75" header="0.3" footer="0.3"/>
  <pageSetup paperSize="9" orientation="landscape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7F5B8-CBD8-45AD-814C-29C341199CB7}">
  <dimension ref="A2:R1048480"/>
  <sheetViews>
    <sheetView tabSelected="1" zoomScale="76" zoomScaleNormal="76" workbookViewId="0">
      <selection activeCell="D14" sqref="D14"/>
    </sheetView>
  </sheetViews>
  <sheetFormatPr defaultRowHeight="14.5" x14ac:dyDescent="0.35"/>
  <cols>
    <col min="1" max="1" width="4.36328125" customWidth="1"/>
    <col min="2" max="2" width="28.90625" bestFit="1" customWidth="1"/>
    <col min="3" max="3" width="17.6328125" style="20" customWidth="1"/>
    <col min="4" max="4" width="17.54296875" bestFit="1" customWidth="1"/>
    <col min="5" max="5" width="6.81640625" bestFit="1" customWidth="1"/>
    <col min="6" max="6" width="6.1796875" bestFit="1" customWidth="1"/>
    <col min="7" max="7" width="4.6328125" bestFit="1" customWidth="1"/>
    <col min="8" max="8" width="23.54296875" bestFit="1" customWidth="1"/>
    <col min="9" max="9" width="16" bestFit="1" customWidth="1"/>
    <col min="10" max="10" width="15.7265625" style="17" customWidth="1"/>
    <col min="11" max="11" width="18.26953125" bestFit="1" customWidth="1"/>
    <col min="12" max="12" width="14.90625" hidden="1" customWidth="1"/>
    <col min="13" max="13" width="10.453125" hidden="1" customWidth="1"/>
  </cols>
  <sheetData>
    <row r="2" spans="1:18" x14ac:dyDescent="0.35">
      <c r="A2" s="4" t="s">
        <v>6</v>
      </c>
    </row>
    <row r="4" spans="1:18" ht="15.5" customHeight="1" x14ac:dyDescent="0.35">
      <c r="A4" s="24" t="s">
        <v>1</v>
      </c>
      <c r="B4" s="24" t="s">
        <v>2</v>
      </c>
      <c r="C4" s="25" t="s">
        <v>3</v>
      </c>
      <c r="D4" s="26" t="s">
        <v>9</v>
      </c>
      <c r="E4" s="26" t="s">
        <v>10</v>
      </c>
      <c r="F4" s="26"/>
      <c r="G4" s="26"/>
      <c r="H4" s="26" t="s">
        <v>10</v>
      </c>
      <c r="I4" s="23" t="s">
        <v>12</v>
      </c>
      <c r="J4" s="23" t="s">
        <v>15</v>
      </c>
      <c r="K4" s="24" t="s">
        <v>4</v>
      </c>
      <c r="L4" s="1"/>
      <c r="M4" s="1"/>
    </row>
    <row r="5" spans="1:18" ht="15.5" customHeight="1" x14ac:dyDescent="0.35">
      <c r="A5" s="24"/>
      <c r="B5" s="24"/>
      <c r="C5" s="25"/>
      <c r="D5" s="26"/>
      <c r="E5" s="5" t="s">
        <v>7</v>
      </c>
      <c r="F5" s="5" t="s">
        <v>11</v>
      </c>
      <c r="G5" s="5" t="s">
        <v>8</v>
      </c>
      <c r="H5" s="26"/>
      <c r="I5" s="23"/>
      <c r="J5" s="23"/>
      <c r="K5" s="24"/>
      <c r="L5" s="1"/>
      <c r="M5" s="19"/>
    </row>
    <row r="6" spans="1:18" x14ac:dyDescent="0.35">
      <c r="A6" s="3">
        <v>1</v>
      </c>
      <c r="B6" s="6" t="s">
        <v>22</v>
      </c>
      <c r="C6" s="7">
        <v>42377</v>
      </c>
      <c r="D6" s="8">
        <f t="shared" ref="D6:D12" ca="1" si="0">TODAY()</f>
        <v>46118</v>
      </c>
      <c r="E6" s="9">
        <f t="shared" ref="E6:E12" ca="1" si="1">DATEDIF(C6,D6,"Y")</f>
        <v>10</v>
      </c>
      <c r="F6" s="9">
        <f t="shared" ref="F6:F12" ca="1" si="2">DATEDIF(C6,D6,"YM")</f>
        <v>2</v>
      </c>
      <c r="G6" s="9">
        <f t="shared" ref="G6:G12" ca="1" si="3">DATEDIF(C6,D6,"MD")</f>
        <v>29</v>
      </c>
      <c r="H6" s="10" t="str">
        <f t="shared" ref="H6:H12" ca="1" si="4">DATEDIF(C6,D6,"Y")&amp;" Tahun "&amp;DATEDIF(C6,D6,"YM")&amp;" Bulan "&amp;DATEDIF(C6,D6,"MD")&amp;" Hari"</f>
        <v>10 Tahun 2 Bulan 29 Hari</v>
      </c>
      <c r="I6" s="8" t="s">
        <v>16</v>
      </c>
      <c r="J6" s="18" t="s">
        <v>17</v>
      </c>
      <c r="K6" s="1"/>
      <c r="L6" s="1">
        <v>1</v>
      </c>
      <c r="M6" s="1"/>
    </row>
    <row r="7" spans="1:18" x14ac:dyDescent="0.35">
      <c r="A7" s="3">
        <v>2</v>
      </c>
      <c r="B7" s="6" t="s">
        <v>23</v>
      </c>
      <c r="C7" s="22">
        <v>41325</v>
      </c>
      <c r="D7" s="12">
        <f t="shared" ca="1" si="0"/>
        <v>46118</v>
      </c>
      <c r="E7" s="13">
        <f t="shared" ca="1" si="1"/>
        <v>13</v>
      </c>
      <c r="F7" s="13">
        <f t="shared" ca="1" si="2"/>
        <v>1</v>
      </c>
      <c r="G7" s="13">
        <f t="shared" ca="1" si="3"/>
        <v>17</v>
      </c>
      <c r="H7" s="14" t="str">
        <f t="shared" ca="1" si="4"/>
        <v>13 Tahun 1 Bulan 17 Hari</v>
      </c>
      <c r="I7" s="13" t="s">
        <v>13</v>
      </c>
      <c r="J7" s="11" t="s">
        <v>18</v>
      </c>
      <c r="K7" s="21" t="s">
        <v>5</v>
      </c>
      <c r="L7" s="1"/>
      <c r="M7" s="1"/>
    </row>
    <row r="8" spans="1:18" x14ac:dyDescent="0.35">
      <c r="A8" s="3">
        <v>3</v>
      </c>
      <c r="B8" s="6" t="s">
        <v>20</v>
      </c>
      <c r="C8" s="15">
        <v>41142</v>
      </c>
      <c r="D8" s="12">
        <f t="shared" ca="1" si="0"/>
        <v>46118</v>
      </c>
      <c r="E8" s="13">
        <f t="shared" ca="1" si="1"/>
        <v>13</v>
      </c>
      <c r="F8" s="13">
        <f t="shared" ca="1" si="2"/>
        <v>7</v>
      </c>
      <c r="G8" s="13">
        <f t="shared" ca="1" si="3"/>
        <v>16</v>
      </c>
      <c r="H8" s="14" t="str">
        <f t="shared" ca="1" si="4"/>
        <v>13 Tahun 7 Bulan 16 Hari</v>
      </c>
      <c r="I8" s="13" t="s">
        <v>19</v>
      </c>
      <c r="J8" s="11" t="s">
        <v>14</v>
      </c>
      <c r="K8" s="21" t="s">
        <v>5</v>
      </c>
      <c r="L8" s="1">
        <v>1</v>
      </c>
      <c r="M8" s="1"/>
    </row>
    <row r="9" spans="1:18" x14ac:dyDescent="0.35">
      <c r="A9" s="3">
        <v>4</v>
      </c>
      <c r="B9" s="6" t="s">
        <v>0</v>
      </c>
      <c r="C9" s="15">
        <v>41089</v>
      </c>
      <c r="D9" s="12">
        <f t="shared" ca="1" si="0"/>
        <v>46118</v>
      </c>
      <c r="E9" s="13">
        <f t="shared" ca="1" si="1"/>
        <v>13</v>
      </c>
      <c r="F9" s="13">
        <f t="shared" ca="1" si="2"/>
        <v>9</v>
      </c>
      <c r="G9" s="13">
        <f t="shared" ca="1" si="3"/>
        <v>8</v>
      </c>
      <c r="H9" s="14" t="str">
        <f t="shared" ca="1" si="4"/>
        <v>13 Tahun 9 Bulan 8 Hari</v>
      </c>
      <c r="I9" s="13" t="s">
        <v>19</v>
      </c>
      <c r="J9" s="11" t="s">
        <v>14</v>
      </c>
      <c r="K9" s="21" t="s">
        <v>5</v>
      </c>
      <c r="L9" s="1">
        <v>1</v>
      </c>
      <c r="M9" s="1"/>
      <c r="R9" s="2"/>
    </row>
    <row r="10" spans="1:18" x14ac:dyDescent="0.35">
      <c r="A10" s="3">
        <v>5</v>
      </c>
      <c r="B10" s="6" t="s">
        <v>21</v>
      </c>
      <c r="C10" s="15">
        <v>41011</v>
      </c>
      <c r="D10" s="12">
        <f t="shared" ca="1" si="0"/>
        <v>46118</v>
      </c>
      <c r="E10" s="13">
        <f t="shared" ca="1" si="1"/>
        <v>13</v>
      </c>
      <c r="F10" s="13">
        <f t="shared" ca="1" si="2"/>
        <v>11</v>
      </c>
      <c r="G10" s="13">
        <f t="shared" ca="1" si="3"/>
        <v>25</v>
      </c>
      <c r="H10" s="14" t="str">
        <f t="shared" ca="1" si="4"/>
        <v>13 Tahun 11 Bulan 25 Hari</v>
      </c>
      <c r="I10" s="13" t="s">
        <v>19</v>
      </c>
      <c r="J10" s="11" t="s">
        <v>14</v>
      </c>
      <c r="K10" s="21" t="s">
        <v>5</v>
      </c>
    </row>
    <row r="11" spans="1:18" x14ac:dyDescent="0.35">
      <c r="A11" s="3">
        <v>6</v>
      </c>
      <c r="B11" s="6" t="s">
        <v>24</v>
      </c>
      <c r="C11" s="22">
        <v>40748</v>
      </c>
      <c r="D11" s="12">
        <f t="shared" ca="1" si="0"/>
        <v>46118</v>
      </c>
      <c r="E11" s="13">
        <f t="shared" ca="1" si="1"/>
        <v>14</v>
      </c>
      <c r="F11" s="13">
        <f t="shared" ca="1" si="2"/>
        <v>8</v>
      </c>
      <c r="G11" s="13">
        <f t="shared" ca="1" si="3"/>
        <v>13</v>
      </c>
      <c r="H11" s="14" t="str">
        <f t="shared" ca="1" si="4"/>
        <v>14 Tahun 8 Bulan 13 Hari</v>
      </c>
      <c r="I11" s="13" t="s">
        <v>19</v>
      </c>
      <c r="J11" s="11" t="s">
        <v>14</v>
      </c>
      <c r="K11" s="21" t="s">
        <v>5</v>
      </c>
    </row>
    <row r="12" spans="1:18" x14ac:dyDescent="0.35">
      <c r="A12" s="3">
        <v>7</v>
      </c>
      <c r="B12" s="6" t="s">
        <v>25</v>
      </c>
      <c r="C12" s="22">
        <v>40493</v>
      </c>
      <c r="D12" s="12">
        <f t="shared" ca="1" si="0"/>
        <v>46118</v>
      </c>
      <c r="E12" s="13">
        <f t="shared" ca="1" si="1"/>
        <v>15</v>
      </c>
      <c r="F12" s="13">
        <f t="shared" ca="1" si="2"/>
        <v>4</v>
      </c>
      <c r="G12" s="13">
        <f t="shared" ca="1" si="3"/>
        <v>26</v>
      </c>
      <c r="H12" s="14" t="str">
        <f t="shared" ca="1" si="4"/>
        <v>15 Tahun 4 Bulan 26 Hari</v>
      </c>
      <c r="I12" s="13" t="s">
        <v>19</v>
      </c>
      <c r="J12" s="11" t="s">
        <v>14</v>
      </c>
      <c r="K12" s="21" t="s">
        <v>5</v>
      </c>
    </row>
    <row r="13" spans="1:18" x14ac:dyDescent="0.35">
      <c r="A13" s="20"/>
      <c r="C13"/>
      <c r="G13" s="17"/>
      <c r="J13"/>
    </row>
    <row r="14" spans="1:18" x14ac:dyDescent="0.35">
      <c r="A14" s="20"/>
      <c r="C14"/>
      <c r="G14" s="17"/>
      <c r="J14"/>
    </row>
    <row r="15" spans="1:18" x14ac:dyDescent="0.35">
      <c r="A15" s="20"/>
      <c r="C15"/>
      <c r="G15" s="17"/>
      <c r="J15"/>
    </row>
    <row r="16" spans="1:18" x14ac:dyDescent="0.35">
      <c r="A16" s="20"/>
      <c r="C16"/>
      <c r="G16" s="17"/>
      <c r="J16"/>
    </row>
    <row r="17" spans="1:10" x14ac:dyDescent="0.35">
      <c r="A17" s="20"/>
      <c r="C17"/>
      <c r="G17" s="17"/>
      <c r="J17"/>
    </row>
    <row r="18" spans="1:10" x14ac:dyDescent="0.35">
      <c r="A18" s="20"/>
      <c r="C18"/>
      <c r="G18" s="17"/>
      <c r="J18"/>
    </row>
    <row r="19" spans="1:10" x14ac:dyDescent="0.35">
      <c r="A19" s="20"/>
      <c r="C19"/>
      <c r="G19" s="17"/>
      <c r="J19"/>
    </row>
    <row r="20" spans="1:10" x14ac:dyDescent="0.35">
      <c r="A20" s="20"/>
      <c r="C20"/>
      <c r="G20" s="17"/>
      <c r="J20"/>
    </row>
    <row r="21" spans="1:10" x14ac:dyDescent="0.35">
      <c r="I21" s="17"/>
      <c r="J21"/>
    </row>
    <row r="22" spans="1:10" x14ac:dyDescent="0.35">
      <c r="I22" s="17"/>
      <c r="J22"/>
    </row>
    <row r="23" spans="1:10" x14ac:dyDescent="0.35">
      <c r="I23" s="17"/>
      <c r="J23"/>
    </row>
    <row r="24" spans="1:10" x14ac:dyDescent="0.35">
      <c r="I24" s="17"/>
      <c r="J24"/>
    </row>
    <row r="25" spans="1:10" x14ac:dyDescent="0.35">
      <c r="I25" s="17"/>
      <c r="J25"/>
    </row>
    <row r="26" spans="1:10" x14ac:dyDescent="0.35">
      <c r="I26" s="17"/>
      <c r="J26"/>
    </row>
    <row r="27" spans="1:10" x14ac:dyDescent="0.35">
      <c r="I27" s="17"/>
      <c r="J27"/>
    </row>
    <row r="28" spans="1:10" x14ac:dyDescent="0.35">
      <c r="I28" s="17"/>
      <c r="J28"/>
    </row>
    <row r="29" spans="1:10" x14ac:dyDescent="0.35">
      <c r="I29" s="17"/>
      <c r="J29"/>
    </row>
    <row r="30" spans="1:10" x14ac:dyDescent="0.35">
      <c r="I30" s="17"/>
      <c r="J30"/>
    </row>
    <row r="31" spans="1:10" x14ac:dyDescent="0.35">
      <c r="I31" s="17"/>
      <c r="J31"/>
    </row>
    <row r="1048480" spans="10:10" x14ac:dyDescent="0.35">
      <c r="J1048480" s="16"/>
    </row>
  </sheetData>
  <mergeCells count="9">
    <mergeCell ref="I4:I5"/>
    <mergeCell ref="J4:J5"/>
    <mergeCell ref="K4:K5"/>
    <mergeCell ref="A4:A5"/>
    <mergeCell ref="B4:B5"/>
    <mergeCell ref="C4:C5"/>
    <mergeCell ref="D4:D5"/>
    <mergeCell ref="E4:G4"/>
    <mergeCell ref="H4:H5"/>
  </mergeCells>
  <pageMargins left="0.7" right="0.7" top="0.75" bottom="0.75" header="0.3" footer="0.3"/>
  <pageSetup paperSize="9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JANUARI</vt:lpstr>
      <vt:lpstr>FEBRUARI</vt:lpstr>
      <vt:lpstr>MARET</vt:lpstr>
      <vt:lpstr>APRIL</vt:lpstr>
      <vt:lpstr>APRIL!Print_Area</vt:lpstr>
      <vt:lpstr>FEBRUARI!Print_Area</vt:lpstr>
      <vt:lpstr>JANUARI!Print_Area</vt:lpstr>
      <vt:lpstr>MARET!Print_Area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Hanifa Shabirah</dc:creator>
  <cp:lastModifiedBy>Hanifa Shabirah</cp:lastModifiedBy>
  <cp:lastPrinted>2026-04-06T13:50:59Z</cp:lastPrinted>
  <dcterms:created xsi:type="dcterms:W3CDTF">2022-09-11T23:52:20Z</dcterms:created>
  <dcterms:modified xsi:type="dcterms:W3CDTF">2026-04-06T13:59:19Z</dcterms:modified>
</cp:coreProperties>
</file>